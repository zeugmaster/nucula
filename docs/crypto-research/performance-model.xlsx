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Historical observations" sheetId="2" state="visible" r:id="rId2"/>
    <sheet name="Assumptions" sheetId="3" state="visible" r:id="rId3"/>
    <sheet name="Sensitivity" sheetId="4" state="visible" r:id="rId4"/>
    <sheet name="Field operation counts" sheetId="5" state="visible" r:id="rId5"/>
    <sheet name="Stack frames" sheetId="6" state="visible" r:id="rId6"/>
    <sheet name="Nutroot call counts" sheetId="7" state="visible" r:id="rId7"/>
    <sheet name="Sources" sheetId="8" state="visible" r:id="rId8"/>
  </sheets>
  <definedNames>
    <definedName name="_xlnm._FilterDatabase" localSheetId="0" hidden="1">'Read me'!$A$1:$B$11</definedName>
    <definedName name="_xlnm._FilterDatabase" localSheetId="1" hidden="1">'Historical observations'!$A$1:$C$10</definedName>
    <definedName name="_xlnm._FilterDatabase" localSheetId="2" hidden="1">'Assumptions'!$A$1:$C$8</definedName>
    <definedName name="_xlnm._FilterDatabase" localSheetId="3" hidden="1">'Sensitivity'!$A$1:$G$10</definedName>
    <definedName name="_xlnm._FilterDatabase" localSheetId="4" hidden="1">'Field operation counts'!$A$1:$C$81</definedName>
    <definedName name="_xlnm._FilterDatabase" localSheetId="5" hidden="1">'Stack frames'!$A$1:$E$7</definedName>
    <definedName name="_xlnm._FilterDatabase" localSheetId="6" hidden="1">'Nutroot call counts'!$A$1:$D$13</definedName>
    <definedName name="_xlnm._FilterDatabase" localSheetId="7" hidden="1">'Sources'!$A$1:$B$6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%"/>
    <numFmt numFmtId="166" formatCode="0.00&quot;x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565C0"/>
    </font>
    <font>
      <color rgb="001565C0"/>
      <u val="single"/>
    </font>
  </fonts>
  <fills count="4">
    <fill>
      <patternFill/>
    </fill>
    <fill>
      <patternFill patternType="gray125"/>
    </fill>
    <fill>
      <patternFill patternType="solid">
        <fgColor rgb="00343D46"/>
      </patternFill>
    </fill>
    <fill>
      <patternFill patternType="solid">
        <fgColor rgb="00EAF3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166" fontId="2" fillId="3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github.com/cashubtc/nuts/pull/371" TargetMode="External" Id="rId1" /><Relationship Type="http://schemas.openxmlformats.org/officeDocument/2006/relationships/hyperlink" Target="https://github.com/cashubtc/nuts/pull/42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Item</t>
        </is>
      </c>
      <c r="B1" s="1" t="inlineStr">
        <is>
          <t>Meaning</t>
        </is>
      </c>
    </row>
    <row r="2" ht="43" customHeight="1">
      <c r="A2" s="2" t="inlineStr">
        <is>
          <t>Status</t>
        </is>
      </c>
      <c r="B2" s="2" t="inlineStr">
        <is>
          <t>Research model, 2026-09-13. No new ESP32-C3 timing measurements.</t>
        </is>
      </c>
    </row>
    <row r="3" ht="43" customHeight="1">
      <c r="A3" s="2" t="inlineStr">
        <is>
          <t>Historical observations</t>
        </is>
      </c>
      <c r="B3" s="2" t="inlineStr">
        <is>
          <t>September 1 recorded synthetic Nutroot receive; old proposal, omitted ECDH/output key generation, duplicate signing.</t>
        </is>
      </c>
    </row>
    <row r="4" ht="43" customHeight="1">
      <c r="A4" s="2" t="inlineStr">
        <is>
          <t>Model</t>
        </is>
      </c>
      <c r="B4" s="2" t="inlineStr">
        <is>
          <t>T = baseline × [(1-f) + f × (1-r)/s]. f is affected field-kernel time share; r removes calls; s accelerates remaining calls.</t>
        </is>
      </c>
    </row>
    <row r="5" ht="43" customHeight="1">
      <c r="A5" s="2" t="inlineStr">
        <is>
          <t>Assumptions</t>
        </is>
      </c>
      <c r="B5" s="2" t="inlineStr">
        <is>
          <t>Blue cells on Assumptions are editable. f is unknown until profiled. Default r=20% is an illustrative approximation, not an integrated firmware measurement.</t>
        </is>
      </c>
    </row>
    <row r="6" ht="43" customHeight="1">
      <c r="A6" s="2" t="inlineStr">
        <is>
          <t>Sensitivity</t>
        </is>
      </c>
      <c r="B6" s="2" t="inlineStr">
        <is>
          <t>Nine independent scenarios, with their own explicit f and s, reference r and baseline from Assumptions. Results are conditional calculations.</t>
        </is>
      </c>
    </row>
    <row r="7" ht="43" customHeight="1">
      <c r="A7" s="2" t="inlineStr">
        <is>
          <t>Operation counts</t>
        </is>
      </c>
      <c r="B7" s="2" t="inlineStr">
        <is>
          <t>32-bit-limb host probe; excludes software inverse internals, additions, hashing, CPU/control and memory traffic.</t>
        </is>
      </c>
    </row>
    <row r="8" ht="43" customHeight="1">
      <c r="A8" s="2" t="inlineStr">
        <is>
          <t>Stack frames</t>
        </is>
      </c>
      <c r="B8" s="2" t="inlineStr">
        <is>
          <t>Cross-compiler estimates for individual functions, not complete task high-water marks.</t>
        </is>
      </c>
    </row>
    <row r="9" ht="43" customHeight="1">
      <c r="A9" s="2" t="inlineStr">
        <is>
          <t>Nutroot counts</t>
        </is>
      </c>
      <c r="B9" s="2" t="inlineStr">
        <is>
          <t>Four well-formed fixtures of the older local core. Experimental fast paths are not production patches.</t>
        </is>
      </c>
    </row>
    <row r="10" ht="43" customHeight="1">
      <c r="A10" s="2" t="inlineStr">
        <is>
          <t>Units</t>
        </is>
      </c>
      <c r="B10" s="2" t="inlineStr">
        <is>
          <t>Time in seconds, memory in bytes, count columns are integer call counts.</t>
        </is>
      </c>
    </row>
    <row r="11" ht="43" customHeight="1">
      <c r="A11" s="2" t="inlineStr">
        <is>
          <t>Scope</t>
        </is>
      </c>
      <c r="B11" s="2" t="inlineStr">
        <is>
          <t>See ../crypto-optimization-esp32c3.md, README.md, and provenance.json for analysis, reproduction and source fingerprints.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24" customWidth="1" min="2" max="2"/>
    <col width="62" customWidth="1" min="3" max="3"/>
  </cols>
  <sheetData>
    <row r="1">
      <c r="A1" s="1" t="inlineStr">
        <is>
          <t>Phase</t>
        </is>
      </c>
      <c r="B1" s="1" t="inlineStr">
        <is>
          <t>Recorded seconds</t>
        </is>
      </c>
      <c r="C1" s="1" t="inlineStr">
        <is>
          <t>Qualification</t>
        </is>
      </c>
    </row>
    <row r="2">
      <c r="A2" s="2" t="inlineStr">
        <is>
          <t>Incoming BLS verification</t>
        </is>
      </c>
      <c r="B2" s="3" t="n">
        <v>1.886479</v>
      </c>
      <c r="C2" s="2" t="inlineStr">
        <is>
          <t>Historical synthetic fixture; see Read me</t>
        </is>
      </c>
    </row>
    <row r="3">
      <c r="A3" s="2" t="inlineStr">
        <is>
          <t>Spend-info reconstruction</t>
        </is>
      </c>
      <c r="B3" s="3" t="n">
        <v>0.16618</v>
      </c>
      <c r="C3" s="2" t="inlineStr">
        <is>
          <t>Historical synthetic fixture; see Read me</t>
        </is>
      </c>
    </row>
    <row r="4">
      <c r="A4" s="2" t="inlineStr">
        <is>
          <t>Signing and witness JSON (includes duplicate signing)</t>
        </is>
      </c>
      <c r="B4" s="3" t="n">
        <v>0.832368</v>
      </c>
      <c r="C4" s="2" t="inlineStr">
        <is>
          <t>Historical synthetic fixture; see Read me</t>
        </is>
      </c>
    </row>
    <row r="5">
      <c r="A5" s="2" t="inlineStr">
        <is>
          <t>Output blinding</t>
        </is>
      </c>
      <c r="B5" s="3" t="n">
        <v>0.400463</v>
      </c>
      <c r="C5" s="2" t="inlineStr">
        <is>
          <t>Historical synthetic fixture; see Read me</t>
        </is>
      </c>
    </row>
    <row r="6">
      <c r="A6" s="2" t="inlineStr">
        <is>
          <t>Output unblinding</t>
        </is>
      </c>
      <c r="B6" s="3" t="n">
        <v>0.404532</v>
      </c>
      <c r="C6" s="2" t="inlineStr">
        <is>
          <t>Historical synthetic fixture; see Read me</t>
        </is>
      </c>
    </row>
    <row r="7">
      <c r="A7" s="2" t="inlineStr">
        <is>
          <t>Returned-proof BLS verification</t>
        </is>
      </c>
      <c r="B7" s="3" t="n">
        <v>1.886468</v>
      </c>
      <c r="C7" s="2" t="inlineStr">
        <is>
          <t>Historical synthetic fixture; see Read me</t>
        </is>
      </c>
    </row>
    <row r="8">
      <c r="A8" s="2" t="inlineStr">
        <is>
          <t>Sum</t>
        </is>
      </c>
      <c r="B8" s="3">
        <f>SUM(B2:B7)</f>
        <v/>
      </c>
      <c r="C8" s="2" t="inlineStr">
        <is>
          <t>Not a current-proposal end-to-end measurement</t>
        </is>
      </c>
    </row>
    <row r="9">
      <c r="A9" s="2" t="inlineStr">
        <is>
          <t>BLS share</t>
        </is>
      </c>
      <c r="B9" s="4">
        <f>(B2+B7)/B8</f>
        <v/>
      </c>
      <c r="C9" s="2" t="inlineStr">
        <is>
          <t>Fraction of this historical sum</t>
        </is>
      </c>
    </row>
    <row r="10">
      <c r="A10" s="2" t="inlineStr">
        <is>
          <t>Only BLS phases 2x faster</t>
        </is>
      </c>
      <c r="B10" s="3">
        <f>B8-(B2+B7)/2</f>
        <v/>
      </c>
      <c r="C10" s="2" t="inlineStr">
        <is>
          <t>Amdahl illustration; all other phases held fixed</t>
        </is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10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Meaning</t>
        </is>
      </c>
    </row>
    <row r="2">
      <c r="A2" s="2" t="inlineStr">
        <is>
          <t>baseline_seconds</t>
        </is>
      </c>
      <c r="B2" s="3">
        <f>'Historical observations'!B2</f>
        <v/>
      </c>
      <c r="C2" s="2" t="inlineStr">
        <is>
          <t>Historical incoming verification only</t>
        </is>
      </c>
    </row>
    <row r="3">
      <c r="A3" s="2" t="inlineStr">
        <is>
          <t>f_kernel_time_fraction</t>
        </is>
      </c>
      <c r="B3" s="5" t="n">
        <v>0.7</v>
      </c>
      <c r="C3" s="2" t="inlineStr">
        <is>
          <t>UNKNOWN. Illustrative affected-kernel share; must be measured.</t>
        </is>
      </c>
    </row>
    <row r="4">
      <c r="A4" s="2" t="inlineStr">
        <is>
          <t>r_kernel_calls_removed</t>
        </is>
      </c>
      <c r="B4" s="5" t="n">
        <v>0.2</v>
      </c>
      <c r="C4" s="2" t="inlineStr">
        <is>
          <t>Illustrative fraction removed; not a wall-clock saving.</t>
        </is>
      </c>
    </row>
    <row r="5">
      <c r="A5" s="2" t="inlineStr">
        <is>
          <t>s_kernel_speedup</t>
        </is>
      </c>
      <c r="B5" s="6" t="n">
        <v>1.5</v>
      </c>
      <c r="C5" s="2" t="inlineStr">
        <is>
          <t>HYPOTHETICAL speedup of each remaining affected-kernel call.</t>
        </is>
      </c>
    </row>
    <row r="6">
      <c r="A6" s="2" t="inlineStr">
        <is>
          <t>selected_result_seconds</t>
        </is>
      </c>
      <c r="B6" s="3">
        <f>B2*((1-B3)+B3*(1-B4)/B5)</f>
        <v/>
      </c>
      <c r="C6" s="2" t="inlineStr">
        <is>
          <t>Conditional result, not a hardware prediction.</t>
        </is>
      </c>
    </row>
    <row r="7">
      <c r="A7" s="2" t="inlineStr">
        <is>
          <t>selected_overall_speedup</t>
        </is>
      </c>
      <c r="B7" s="7">
        <f>B2/B6</f>
        <v/>
      </c>
      <c r="C7" s="2" t="inlineStr">
        <is>
          <t>Baseline divided by selected result.</t>
        </is>
      </c>
    </row>
    <row r="8">
      <c r="A8" s="2" t="inlineStr">
        <is>
          <t>count_accounting_example</t>
        </is>
      </c>
      <c r="B8" s="4" t="n">
        <v>0.1963813936017029</v>
      </c>
      <c r="C8" s="2" t="inlineStr">
        <is>
          <t>Cold G2 checks + chunk change + forced MSM; separate probe components, not integrated firmware.</t>
        </is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4" customWidth="1" min="4" max="4"/>
    <col width="25" customWidth="1" min="5" max="5"/>
    <col width="22" customWidth="1" min="6" max="6"/>
    <col width="26" customWidth="1" min="7" max="7"/>
  </cols>
  <sheetData>
    <row r="1">
      <c r="A1" s="1" t="inlineStr">
        <is>
          <t>assumed_f</t>
        </is>
      </c>
      <c r="B1" s="1" t="inlineStr">
        <is>
          <t>assumed_s</t>
        </is>
      </c>
      <c r="C1" s="1" t="inlineStr">
        <is>
          <t>assumed_r</t>
        </is>
      </c>
      <c r="D1" s="1" t="inlineStr">
        <is>
          <t>baseline_seconds</t>
        </is>
      </c>
      <c r="E1" s="1" t="inlineStr">
        <is>
          <t>conditional_seconds</t>
        </is>
      </c>
      <c r="F1" s="1" t="inlineStr">
        <is>
          <t>overall_speedup</t>
        </is>
      </c>
      <c r="G1" s="1" t="inlineStr">
        <is>
          <t>time_reduction_fraction</t>
        </is>
      </c>
    </row>
    <row r="2">
      <c r="A2" s="4" t="n">
        <v>0.5</v>
      </c>
      <c r="B2" s="7" t="n">
        <v>1</v>
      </c>
      <c r="C2" s="4">
        <f>Assumptions!$B$4</f>
        <v/>
      </c>
      <c r="D2" s="3">
        <f>Assumptions!$B$2</f>
        <v/>
      </c>
      <c r="E2" s="3">
        <f>D2*((1-A2)+A2*(1-C2)/B2)</f>
        <v/>
      </c>
      <c r="F2" s="7">
        <f>D2/E2</f>
        <v/>
      </c>
      <c r="G2" s="4">
        <f>1-E2/D2</f>
        <v/>
      </c>
    </row>
    <row r="3">
      <c r="A3" s="4" t="n">
        <v>0.5</v>
      </c>
      <c r="B3" s="7" t="n">
        <v>1.5</v>
      </c>
      <c r="C3" s="4">
        <f>Assumptions!$B$4</f>
        <v/>
      </c>
      <c r="D3" s="3">
        <f>Assumptions!$B$2</f>
        <v/>
      </c>
      <c r="E3" s="3">
        <f>D3*((1-A3)+A3*(1-C3)/B3)</f>
        <v/>
      </c>
      <c r="F3" s="7">
        <f>D3/E3</f>
        <v/>
      </c>
      <c r="G3" s="4">
        <f>1-E3/D3</f>
        <v/>
      </c>
    </row>
    <row r="4">
      <c r="A4" s="4" t="n">
        <v>0.5</v>
      </c>
      <c r="B4" s="7" t="n">
        <v>2</v>
      </c>
      <c r="C4" s="4">
        <f>Assumptions!$B$4</f>
        <v/>
      </c>
      <c r="D4" s="3">
        <f>Assumptions!$B$2</f>
        <v/>
      </c>
      <c r="E4" s="3">
        <f>D4*((1-A4)+A4*(1-C4)/B4)</f>
        <v/>
      </c>
      <c r="F4" s="7">
        <f>D4/E4</f>
        <v/>
      </c>
      <c r="G4" s="4">
        <f>1-E4/D4</f>
        <v/>
      </c>
    </row>
    <row r="5">
      <c r="A5" s="4" t="n">
        <v>0.7</v>
      </c>
      <c r="B5" s="7" t="n">
        <v>1</v>
      </c>
      <c r="C5" s="4">
        <f>Assumptions!$B$4</f>
        <v/>
      </c>
      <c r="D5" s="3">
        <f>Assumptions!$B$2</f>
        <v/>
      </c>
      <c r="E5" s="3">
        <f>D5*((1-A5)+A5*(1-C5)/B5)</f>
        <v/>
      </c>
      <c r="F5" s="7">
        <f>D5/E5</f>
        <v/>
      </c>
      <c r="G5" s="4">
        <f>1-E5/D5</f>
        <v/>
      </c>
    </row>
    <row r="6">
      <c r="A6" s="4" t="n">
        <v>0.7</v>
      </c>
      <c r="B6" s="7" t="n">
        <v>1.5</v>
      </c>
      <c r="C6" s="4">
        <f>Assumptions!$B$4</f>
        <v/>
      </c>
      <c r="D6" s="3">
        <f>Assumptions!$B$2</f>
        <v/>
      </c>
      <c r="E6" s="3">
        <f>D6*((1-A6)+A6*(1-C6)/B6)</f>
        <v/>
      </c>
      <c r="F6" s="7">
        <f>D6/E6</f>
        <v/>
      </c>
      <c r="G6" s="4">
        <f>1-E6/D6</f>
        <v/>
      </c>
    </row>
    <row r="7">
      <c r="A7" s="4" t="n">
        <v>0.7</v>
      </c>
      <c r="B7" s="7" t="n">
        <v>2</v>
      </c>
      <c r="C7" s="4">
        <f>Assumptions!$B$4</f>
        <v/>
      </c>
      <c r="D7" s="3">
        <f>Assumptions!$B$2</f>
        <v/>
      </c>
      <c r="E7" s="3">
        <f>D7*((1-A7)+A7*(1-C7)/B7)</f>
        <v/>
      </c>
      <c r="F7" s="7">
        <f>D7/E7</f>
        <v/>
      </c>
      <c r="G7" s="4">
        <f>1-E7/D7</f>
        <v/>
      </c>
    </row>
    <row r="8">
      <c r="A8" s="4" t="n">
        <v>0.85</v>
      </c>
      <c r="B8" s="7" t="n">
        <v>1</v>
      </c>
      <c r="C8" s="4">
        <f>Assumptions!$B$4</f>
        <v/>
      </c>
      <c r="D8" s="3">
        <f>Assumptions!$B$2</f>
        <v/>
      </c>
      <c r="E8" s="3">
        <f>D8*((1-A8)+A8*(1-C8)/B8)</f>
        <v/>
      </c>
      <c r="F8" s="7">
        <f>D8/E8</f>
        <v/>
      </c>
      <c r="G8" s="4">
        <f>1-E8/D8</f>
        <v/>
      </c>
    </row>
    <row r="9">
      <c r="A9" s="4" t="n">
        <v>0.85</v>
      </c>
      <c r="B9" s="7" t="n">
        <v>1.5</v>
      </c>
      <c r="C9" s="4">
        <f>Assumptions!$B$4</f>
        <v/>
      </c>
      <c r="D9" s="3">
        <f>Assumptions!$B$2</f>
        <v/>
      </c>
      <c r="E9" s="3">
        <f>D9*((1-A9)+A9*(1-C9)/B9)</f>
        <v/>
      </c>
      <c r="F9" s="7">
        <f>D9/E9</f>
        <v/>
      </c>
      <c r="G9" s="4">
        <f>1-E9/D9</f>
        <v/>
      </c>
    </row>
    <row r="10">
      <c r="A10" s="4" t="n">
        <v>0.85</v>
      </c>
      <c r="B10" s="7" t="n">
        <v>2</v>
      </c>
      <c r="C10" s="4">
        <f>Assumptions!$B$4</f>
        <v/>
      </c>
      <c r="D10" s="3">
        <f>Assumptions!$B$2</f>
        <v/>
      </c>
      <c r="E10" s="3">
        <f>D10*((1-A10)+A10*(1-C10)/B10)</f>
        <v/>
      </c>
      <c r="F10" s="7">
        <f>D10/E10</f>
        <v/>
      </c>
      <c r="G10" s="4">
        <f>1-E10/D10</f>
        <v/>
      </c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9" customWidth="1" min="2" max="2"/>
    <col width="26" customWidth="1" min="3" max="3"/>
    <col width="23" customWidth="1" min="4" max="4"/>
    <col width="24" customWidth="1" min="5" max="5"/>
  </cols>
  <sheetData>
    <row r="1">
      <c r="A1" s="1" t="inlineStr">
        <is>
          <t>source_file</t>
        </is>
      </c>
      <c r="B1" s="1" t="inlineStr">
        <is>
          <t>operation</t>
        </is>
      </c>
      <c r="C1" s="1" t="inlineStr">
        <is>
          <t>fp_montgomery_calls</t>
        </is>
      </c>
    </row>
    <row r="2">
      <c r="A2" s="2" t="inlineStr">
        <is>
          <t>operation-counts-chunk11.csv</t>
        </is>
      </c>
      <c r="B2" s="2" t="inlineStr">
        <is>
          <t>hash_to_g1</t>
        </is>
      </c>
      <c r="C2" s="2" t="n">
        <v>1656</v>
      </c>
    </row>
    <row r="3">
      <c r="A3" s="2" t="inlineStr">
        <is>
          <t>operation-counts-chunk11.csv</t>
        </is>
      </c>
      <c r="B3" s="2" t="inlineStr">
        <is>
          <t>validate_g1</t>
        </is>
      </c>
      <c r="C3" s="2" t="n">
        <v>1534</v>
      </c>
    </row>
    <row r="4">
      <c r="A4" s="2" t="inlineStr">
        <is>
          <t>operation-counts-chunk11.csv</t>
        </is>
      </c>
      <c r="B4" s="2" t="inlineStr">
        <is>
          <t>validate_g2</t>
        </is>
      </c>
      <c r="C4" s="2" t="n">
        <v>2215</v>
      </c>
    </row>
    <row r="5">
      <c r="A5" s="2" t="inlineStr">
        <is>
          <t>operation-counts-chunk11.csv</t>
        </is>
      </c>
      <c r="B5" s="2" t="inlineStr">
        <is>
          <t>g1_scalar_mul</t>
        </is>
      </c>
      <c r="C5" s="2" t="n">
        <v>1979</v>
      </c>
    </row>
    <row r="6">
      <c r="A6" s="2" t="inlineStr">
        <is>
          <t>operation-counts-chunk11.csv</t>
        </is>
      </c>
      <c r="B6" s="2" t="inlineStr">
        <is>
          <t>to_affine_one</t>
        </is>
      </c>
      <c r="C6" s="2" t="n">
        <v>6</v>
      </c>
    </row>
    <row r="7">
      <c r="A7" s="2" t="inlineStr">
        <is>
          <t>operation-counts-chunk11.csv</t>
        </is>
      </c>
      <c r="B7" s="2" t="inlineStr">
        <is>
          <t>to_affine_batch10</t>
        </is>
      </c>
      <c r="C7" s="2" t="n">
        <v>69</v>
      </c>
    </row>
    <row r="8">
      <c r="A8" s="2" t="inlineStr">
        <is>
          <t>operation-counts-chunk11.csv</t>
        </is>
      </c>
      <c r="B8" s="2" t="inlineStr">
        <is>
          <t>sum_C_sequential10</t>
        </is>
      </c>
      <c r="C8" s="2" t="n">
        <v>19934</v>
      </c>
    </row>
    <row r="9">
      <c r="A9" s="2" t="inlineStr">
        <is>
          <t>operation-counts-chunk11.csv</t>
        </is>
      </c>
      <c r="B9" s="2" t="inlineStr">
        <is>
          <t>sum_C_msm_api10</t>
        </is>
      </c>
      <c r="C9" s="2" t="n">
        <v>11344</v>
      </c>
    </row>
    <row r="10">
      <c r="A10" s="2" t="inlineStr">
        <is>
          <t>operation-counts-chunk11.csv</t>
        </is>
      </c>
      <c r="B10" s="2" t="inlineStr">
        <is>
          <t>miller_11pairs_chunk1</t>
        </is>
      </c>
      <c r="C10" s="2" t="n">
        <v>76139</v>
      </c>
    </row>
    <row r="11">
      <c r="A11" s="2" t="inlineStr">
        <is>
          <t>operation-counts-chunk11.csv</t>
        </is>
      </c>
      <c r="B11" s="2" t="inlineStr">
        <is>
          <t>final_exp_valid_batch</t>
        </is>
      </c>
      <c r="C11" s="2" t="n">
        <v>7735</v>
      </c>
    </row>
    <row r="12">
      <c r="A12" s="2" t="inlineStr">
        <is>
          <t>operation-counts-chunk11.csv</t>
        </is>
      </c>
      <c r="B12" s="2" t="inlineStr">
        <is>
          <t>miller_11pairs_chunk4</t>
        </is>
      </c>
      <c r="C12" s="2" t="n">
        <v>58155</v>
      </c>
    </row>
    <row r="13">
      <c r="A13" s="2" t="inlineStr">
        <is>
          <t>operation-counts-chunk11.csv</t>
        </is>
      </c>
      <c r="B13" s="2" t="inlineStr">
        <is>
          <t>final_exp_valid_batch</t>
        </is>
      </c>
      <c r="C13" s="2" t="n">
        <v>7735</v>
      </c>
    </row>
    <row r="14">
      <c r="A14" s="2" t="inlineStr">
        <is>
          <t>operation-counts-chunk11.csv</t>
        </is>
      </c>
      <c r="B14" s="2" t="inlineStr">
        <is>
          <t>miller_11pairs_chunk8</t>
        </is>
      </c>
      <c r="C14" s="2" t="n">
        <v>55908</v>
      </c>
    </row>
    <row r="15">
      <c r="A15" s="2" t="inlineStr">
        <is>
          <t>operation-counts-chunk11.csv</t>
        </is>
      </c>
      <c r="B15" s="2" t="inlineStr">
        <is>
          <t>final_exp_valid_batch</t>
        </is>
      </c>
      <c r="C15" s="2" t="n">
        <v>7735</v>
      </c>
    </row>
    <row r="16">
      <c r="A16" s="2" t="inlineStr">
        <is>
          <t>operation-counts-chunk11.csv</t>
        </is>
      </c>
      <c r="B16" s="2" t="inlineStr">
        <is>
          <t>miller_11pairs_chunk11</t>
        </is>
      </c>
      <c r="C16" s="2" t="n">
        <v>53661</v>
      </c>
    </row>
    <row r="17">
      <c r="A17" s="2" t="inlineStr">
        <is>
          <t>operation-counts-chunk11.csv</t>
        </is>
      </c>
      <c r="B17" s="2" t="inlineStr">
        <is>
          <t>final_exp_valid_batch</t>
        </is>
      </c>
      <c r="C17" s="2" t="n">
        <v>7735</v>
      </c>
    </row>
    <row r="18">
      <c r="A18" s="2" t="inlineStr">
        <is>
          <t>operation-counts-chunk11.csv</t>
        </is>
      </c>
      <c r="B18" s="2" t="inlineStr">
        <is>
          <t>precompute_one_G2_lines</t>
        </is>
      </c>
      <c r="C18" s="2" t="n">
        <v>1750</v>
      </c>
    </row>
    <row r="19">
      <c r="A19" s="2" t="inlineStr">
        <is>
          <t>operation-counts-chunk11.csv</t>
        </is>
      </c>
      <c r="B19" s="2" t="inlineStr">
        <is>
          <t>miller_one_prepared</t>
        </is>
      </c>
      <c r="C19" s="2" t="n">
        <v>5117</v>
      </c>
    </row>
    <row r="20">
      <c r="A20" s="2" t="inlineStr">
        <is>
          <t>operation-counts-chunk11.csv</t>
        </is>
      </c>
      <c r="B20" s="2" t="inlineStr">
        <is>
          <t>miller_one_unprepared</t>
        </is>
      </c>
      <c r="C20" s="2" t="n">
        <v>6867</v>
      </c>
    </row>
    <row r="21">
      <c r="A21" s="2" t="inlineStr">
        <is>
          <t>operation-counts-chunk11.csv</t>
        </is>
      </c>
      <c r="B21" s="2" t="inlineStr">
        <is>
          <t>production_verify_distinct10</t>
        </is>
      </c>
      <c r="C21" s="2" t="n">
        <v>155236</v>
      </c>
    </row>
    <row r="22">
      <c r="A22" s="2" t="inlineStr">
        <is>
          <t>operation-counts-chunk4.csv</t>
        </is>
      </c>
      <c r="B22" s="2" t="inlineStr">
        <is>
          <t>hash_to_g1</t>
        </is>
      </c>
      <c r="C22" s="2" t="n">
        <v>1656</v>
      </c>
    </row>
    <row r="23">
      <c r="A23" s="2" t="inlineStr">
        <is>
          <t>operation-counts-chunk4.csv</t>
        </is>
      </c>
      <c r="B23" s="2" t="inlineStr">
        <is>
          <t>validate_g1</t>
        </is>
      </c>
      <c r="C23" s="2" t="n">
        <v>1534</v>
      </c>
    </row>
    <row r="24">
      <c r="A24" s="2" t="inlineStr">
        <is>
          <t>operation-counts-chunk4.csv</t>
        </is>
      </c>
      <c r="B24" s="2" t="inlineStr">
        <is>
          <t>validate_g2</t>
        </is>
      </c>
      <c r="C24" s="2" t="n">
        <v>2215</v>
      </c>
    </row>
    <row r="25">
      <c r="A25" s="2" t="inlineStr">
        <is>
          <t>operation-counts-chunk4.csv</t>
        </is>
      </c>
      <c r="B25" s="2" t="inlineStr">
        <is>
          <t>g1_scalar_mul</t>
        </is>
      </c>
      <c r="C25" s="2" t="n">
        <v>1979</v>
      </c>
    </row>
    <row r="26">
      <c r="A26" s="2" t="inlineStr">
        <is>
          <t>operation-counts-chunk4.csv</t>
        </is>
      </c>
      <c r="B26" s="2" t="inlineStr">
        <is>
          <t>to_affine_one</t>
        </is>
      </c>
      <c r="C26" s="2" t="n">
        <v>6</v>
      </c>
    </row>
    <row r="27">
      <c r="A27" s="2" t="inlineStr">
        <is>
          <t>operation-counts-chunk4.csv</t>
        </is>
      </c>
      <c r="B27" s="2" t="inlineStr">
        <is>
          <t>to_affine_batch10</t>
        </is>
      </c>
      <c r="C27" s="2" t="n">
        <v>69</v>
      </c>
    </row>
    <row r="28">
      <c r="A28" s="2" t="inlineStr">
        <is>
          <t>operation-counts-chunk4.csv</t>
        </is>
      </c>
      <c r="B28" s="2" t="inlineStr">
        <is>
          <t>sum_C_sequential10</t>
        </is>
      </c>
      <c r="C28" s="2" t="n">
        <v>19934</v>
      </c>
    </row>
    <row r="29">
      <c r="A29" s="2" t="inlineStr">
        <is>
          <t>operation-counts-chunk4.csv</t>
        </is>
      </c>
      <c r="B29" s="2" t="inlineStr">
        <is>
          <t>sum_C_msm_api10</t>
        </is>
      </c>
      <c r="C29" s="2" t="n">
        <v>11344</v>
      </c>
    </row>
    <row r="30">
      <c r="A30" s="2" t="inlineStr">
        <is>
          <t>operation-counts-chunk4.csv</t>
        </is>
      </c>
      <c r="B30" s="2" t="inlineStr">
        <is>
          <t>miller_11pairs_chunk1</t>
        </is>
      </c>
      <c r="C30" s="2" t="n">
        <v>76139</v>
      </c>
    </row>
    <row r="31">
      <c r="A31" s="2" t="inlineStr">
        <is>
          <t>operation-counts-chunk4.csv</t>
        </is>
      </c>
      <c r="B31" s="2" t="inlineStr">
        <is>
          <t>final_exp_valid_batch</t>
        </is>
      </c>
      <c r="C31" s="2" t="n">
        <v>7735</v>
      </c>
    </row>
    <row r="32">
      <c r="A32" s="2" t="inlineStr">
        <is>
          <t>operation-counts-chunk4.csv</t>
        </is>
      </c>
      <c r="B32" s="2" t="inlineStr">
        <is>
          <t>miller_11pairs_chunk4</t>
        </is>
      </c>
      <c r="C32" s="2" t="n">
        <v>58155</v>
      </c>
    </row>
    <row r="33">
      <c r="A33" s="2" t="inlineStr">
        <is>
          <t>operation-counts-chunk4.csv</t>
        </is>
      </c>
      <c r="B33" s="2" t="inlineStr">
        <is>
          <t>final_exp_valid_batch</t>
        </is>
      </c>
      <c r="C33" s="2" t="n">
        <v>7735</v>
      </c>
    </row>
    <row r="34">
      <c r="A34" s="2" t="inlineStr">
        <is>
          <t>operation-counts-chunk4.csv</t>
        </is>
      </c>
      <c r="B34" s="2" t="inlineStr">
        <is>
          <t>miller_11pairs_chunk8</t>
        </is>
      </c>
      <c r="C34" s="2" t="n">
        <v>55908</v>
      </c>
    </row>
    <row r="35">
      <c r="A35" s="2" t="inlineStr">
        <is>
          <t>operation-counts-chunk4.csv</t>
        </is>
      </c>
      <c r="B35" s="2" t="inlineStr">
        <is>
          <t>final_exp_valid_batch</t>
        </is>
      </c>
      <c r="C35" s="2" t="n">
        <v>7735</v>
      </c>
    </row>
    <row r="36">
      <c r="A36" s="2" t="inlineStr">
        <is>
          <t>operation-counts-chunk4.csv</t>
        </is>
      </c>
      <c r="B36" s="2" t="inlineStr">
        <is>
          <t>miller_11pairs_chunk11</t>
        </is>
      </c>
      <c r="C36" s="2" t="n">
        <v>53661</v>
      </c>
    </row>
    <row r="37">
      <c r="A37" s="2" t="inlineStr">
        <is>
          <t>operation-counts-chunk4.csv</t>
        </is>
      </c>
      <c r="B37" s="2" t="inlineStr">
        <is>
          <t>final_exp_valid_batch</t>
        </is>
      </c>
      <c r="C37" s="2" t="n">
        <v>7735</v>
      </c>
    </row>
    <row r="38">
      <c r="A38" s="2" t="inlineStr">
        <is>
          <t>operation-counts-chunk4.csv</t>
        </is>
      </c>
      <c r="B38" s="2" t="inlineStr">
        <is>
          <t>precompute_one_G2_lines</t>
        </is>
      </c>
      <c r="C38" s="2" t="n">
        <v>1750</v>
      </c>
    </row>
    <row r="39">
      <c r="A39" s="2" t="inlineStr">
        <is>
          <t>operation-counts-chunk4.csv</t>
        </is>
      </c>
      <c r="B39" s="2" t="inlineStr">
        <is>
          <t>miller_one_prepared</t>
        </is>
      </c>
      <c r="C39" s="2" t="n">
        <v>5117</v>
      </c>
    </row>
    <row r="40">
      <c r="A40" s="2" t="inlineStr">
        <is>
          <t>operation-counts-chunk4.csv</t>
        </is>
      </c>
      <c r="B40" s="2" t="inlineStr">
        <is>
          <t>miller_one_unprepared</t>
        </is>
      </c>
      <c r="C40" s="2" t="n">
        <v>6867</v>
      </c>
    </row>
    <row r="41">
      <c r="A41" s="2" t="inlineStr">
        <is>
          <t>operation-counts-chunk4.csv</t>
        </is>
      </c>
      <c r="B41" s="2" t="inlineStr">
        <is>
          <t>production_verify_distinct10</t>
        </is>
      </c>
      <c r="C41" s="2" t="n">
        <v>159730</v>
      </c>
    </row>
    <row r="42">
      <c r="A42" s="2" t="inlineStr">
        <is>
          <t>operation-counts-chunk8.csv</t>
        </is>
      </c>
      <c r="B42" s="2" t="inlineStr">
        <is>
          <t>hash_to_g1</t>
        </is>
      </c>
      <c r="C42" s="2" t="n">
        <v>1656</v>
      </c>
    </row>
    <row r="43">
      <c r="A43" s="2" t="inlineStr">
        <is>
          <t>operation-counts-chunk8.csv</t>
        </is>
      </c>
      <c r="B43" s="2" t="inlineStr">
        <is>
          <t>validate_g1</t>
        </is>
      </c>
      <c r="C43" s="2" t="n">
        <v>1534</v>
      </c>
    </row>
    <row r="44">
      <c r="A44" s="2" t="inlineStr">
        <is>
          <t>operation-counts-chunk8.csv</t>
        </is>
      </c>
      <c r="B44" s="2" t="inlineStr">
        <is>
          <t>validate_g2</t>
        </is>
      </c>
      <c r="C44" s="2" t="n">
        <v>2215</v>
      </c>
    </row>
    <row r="45">
      <c r="A45" s="2" t="inlineStr">
        <is>
          <t>operation-counts-chunk8.csv</t>
        </is>
      </c>
      <c r="B45" s="2" t="inlineStr">
        <is>
          <t>g1_scalar_mul</t>
        </is>
      </c>
      <c r="C45" s="2" t="n">
        <v>1979</v>
      </c>
    </row>
    <row r="46">
      <c r="A46" s="2" t="inlineStr">
        <is>
          <t>operation-counts-chunk8.csv</t>
        </is>
      </c>
      <c r="B46" s="2" t="inlineStr">
        <is>
          <t>to_affine_one</t>
        </is>
      </c>
      <c r="C46" s="2" t="n">
        <v>6</v>
      </c>
    </row>
    <row r="47">
      <c r="A47" s="2" t="inlineStr">
        <is>
          <t>operation-counts-chunk8.csv</t>
        </is>
      </c>
      <c r="B47" s="2" t="inlineStr">
        <is>
          <t>to_affine_batch10</t>
        </is>
      </c>
      <c r="C47" s="2" t="n">
        <v>69</v>
      </c>
    </row>
    <row r="48">
      <c r="A48" s="2" t="inlineStr">
        <is>
          <t>operation-counts-chunk8.csv</t>
        </is>
      </c>
      <c r="B48" s="2" t="inlineStr">
        <is>
          <t>sum_C_sequential10</t>
        </is>
      </c>
      <c r="C48" s="2" t="n">
        <v>19934</v>
      </c>
    </row>
    <row r="49">
      <c r="A49" s="2" t="inlineStr">
        <is>
          <t>operation-counts-chunk8.csv</t>
        </is>
      </c>
      <c r="B49" s="2" t="inlineStr">
        <is>
          <t>sum_C_msm_api10</t>
        </is>
      </c>
      <c r="C49" s="2" t="n">
        <v>11344</v>
      </c>
    </row>
    <row r="50">
      <c r="A50" s="2" t="inlineStr">
        <is>
          <t>operation-counts-chunk8.csv</t>
        </is>
      </c>
      <c r="B50" s="2" t="inlineStr">
        <is>
          <t>miller_11pairs_chunk1</t>
        </is>
      </c>
      <c r="C50" s="2" t="n">
        <v>76139</v>
      </c>
    </row>
    <row r="51">
      <c r="A51" s="2" t="inlineStr">
        <is>
          <t>operation-counts-chunk8.csv</t>
        </is>
      </c>
      <c r="B51" s="2" t="inlineStr">
        <is>
          <t>final_exp_valid_batch</t>
        </is>
      </c>
      <c r="C51" s="2" t="n">
        <v>7735</v>
      </c>
    </row>
    <row r="52">
      <c r="A52" s="2" t="inlineStr">
        <is>
          <t>operation-counts-chunk8.csv</t>
        </is>
      </c>
      <c r="B52" s="2" t="inlineStr">
        <is>
          <t>miller_11pairs_chunk4</t>
        </is>
      </c>
      <c r="C52" s="2" t="n">
        <v>58155</v>
      </c>
    </row>
    <row r="53">
      <c r="A53" s="2" t="inlineStr">
        <is>
          <t>operation-counts-chunk8.csv</t>
        </is>
      </c>
      <c r="B53" s="2" t="inlineStr">
        <is>
          <t>final_exp_valid_batch</t>
        </is>
      </c>
      <c r="C53" s="2" t="n">
        <v>7735</v>
      </c>
    </row>
    <row r="54">
      <c r="A54" s="2" t="inlineStr">
        <is>
          <t>operation-counts-chunk8.csv</t>
        </is>
      </c>
      <c r="B54" s="2" t="inlineStr">
        <is>
          <t>miller_11pairs_chunk8</t>
        </is>
      </c>
      <c r="C54" s="2" t="n">
        <v>55908</v>
      </c>
    </row>
    <row r="55">
      <c r="A55" s="2" t="inlineStr">
        <is>
          <t>operation-counts-chunk8.csv</t>
        </is>
      </c>
      <c r="B55" s="2" t="inlineStr">
        <is>
          <t>final_exp_valid_batch</t>
        </is>
      </c>
      <c r="C55" s="2" t="n">
        <v>7735</v>
      </c>
    </row>
    <row r="56">
      <c r="A56" s="2" t="inlineStr">
        <is>
          <t>operation-counts-chunk8.csv</t>
        </is>
      </c>
      <c r="B56" s="2" t="inlineStr">
        <is>
          <t>miller_11pairs_chunk11</t>
        </is>
      </c>
      <c r="C56" s="2" t="n">
        <v>53661</v>
      </c>
    </row>
    <row r="57">
      <c r="A57" s="2" t="inlineStr">
        <is>
          <t>operation-counts-chunk8.csv</t>
        </is>
      </c>
      <c r="B57" s="2" t="inlineStr">
        <is>
          <t>final_exp_valid_batch</t>
        </is>
      </c>
      <c r="C57" s="2" t="n">
        <v>7735</v>
      </c>
    </row>
    <row r="58">
      <c r="A58" s="2" t="inlineStr">
        <is>
          <t>operation-counts-chunk8.csv</t>
        </is>
      </c>
      <c r="B58" s="2" t="inlineStr">
        <is>
          <t>precompute_one_G2_lines</t>
        </is>
      </c>
      <c r="C58" s="2" t="n">
        <v>1750</v>
      </c>
    </row>
    <row r="59">
      <c r="A59" s="2" t="inlineStr">
        <is>
          <t>operation-counts-chunk8.csv</t>
        </is>
      </c>
      <c r="B59" s="2" t="inlineStr">
        <is>
          <t>miller_one_prepared</t>
        </is>
      </c>
      <c r="C59" s="2" t="n">
        <v>5117</v>
      </c>
    </row>
    <row r="60">
      <c r="A60" s="2" t="inlineStr">
        <is>
          <t>operation-counts-chunk8.csv</t>
        </is>
      </c>
      <c r="B60" s="2" t="inlineStr">
        <is>
          <t>miller_one_unprepared</t>
        </is>
      </c>
      <c r="C60" s="2" t="n">
        <v>6867</v>
      </c>
    </row>
    <row r="61">
      <c r="A61" s="2" t="inlineStr">
        <is>
          <t>operation-counts-chunk8.csv</t>
        </is>
      </c>
      <c r="B61" s="2" t="inlineStr">
        <is>
          <t>production_verify_distinct10</t>
        </is>
      </c>
      <c r="C61" s="2" t="n">
        <v>157483</v>
      </c>
    </row>
    <row r="62">
      <c r="A62" s="2" t="inlineStr">
        <is>
          <t>operation-counts-force-pippenger.csv</t>
        </is>
      </c>
      <c r="B62" s="2" t="inlineStr">
        <is>
          <t>hash_to_g1</t>
        </is>
      </c>
      <c r="C62" s="2" t="n">
        <v>1656</v>
      </c>
    </row>
    <row r="63">
      <c r="A63" s="2" t="inlineStr">
        <is>
          <t>operation-counts-force-pippenger.csv</t>
        </is>
      </c>
      <c r="B63" s="2" t="inlineStr">
        <is>
          <t>validate_g1</t>
        </is>
      </c>
      <c r="C63" s="2" t="n">
        <v>1534</v>
      </c>
    </row>
    <row r="64">
      <c r="A64" s="2" t="inlineStr">
        <is>
          <t>operation-counts-force-pippenger.csv</t>
        </is>
      </c>
      <c r="B64" s="2" t="inlineStr">
        <is>
          <t>validate_g2</t>
        </is>
      </c>
      <c r="C64" s="2" t="n">
        <v>2215</v>
      </c>
    </row>
    <row r="65">
      <c r="A65" s="2" t="inlineStr">
        <is>
          <t>operation-counts-force-pippenger.csv</t>
        </is>
      </c>
      <c r="B65" s="2" t="inlineStr">
        <is>
          <t>g1_scalar_mul</t>
        </is>
      </c>
      <c r="C65" s="2" t="n">
        <v>1979</v>
      </c>
    </row>
    <row r="66">
      <c r="A66" s="2" t="inlineStr">
        <is>
          <t>operation-counts-force-pippenger.csv</t>
        </is>
      </c>
      <c r="B66" s="2" t="inlineStr">
        <is>
          <t>to_affine_one</t>
        </is>
      </c>
      <c r="C66" s="2" t="n">
        <v>6</v>
      </c>
    </row>
    <row r="67">
      <c r="A67" s="2" t="inlineStr">
        <is>
          <t>operation-counts-force-pippenger.csv</t>
        </is>
      </c>
      <c r="B67" s="2" t="inlineStr">
        <is>
          <t>to_affine_batch10</t>
        </is>
      </c>
      <c r="C67" s="2" t="n">
        <v>69</v>
      </c>
    </row>
    <row r="68">
      <c r="A68" s="2" t="inlineStr">
        <is>
          <t>operation-counts-force-pippenger.csv</t>
        </is>
      </c>
      <c r="B68" s="2" t="inlineStr">
        <is>
          <t>sum_C_sequential10</t>
        </is>
      </c>
      <c r="C68" s="2" t="n">
        <v>19934</v>
      </c>
    </row>
    <row r="69">
      <c r="A69" s="2" t="inlineStr">
        <is>
          <t>operation-counts-force-pippenger.csv</t>
        </is>
      </c>
      <c r="B69" s="2" t="inlineStr">
        <is>
          <t>sum_C_msm_api10</t>
        </is>
      </c>
      <c r="C69" s="2" t="n">
        <v>15210</v>
      </c>
    </row>
    <row r="70">
      <c r="A70" s="2" t="inlineStr">
        <is>
          <t>operation-counts-force-pippenger.csv</t>
        </is>
      </c>
      <c r="B70" s="2" t="inlineStr">
        <is>
          <t>miller_11pairs_chunk1</t>
        </is>
      </c>
      <c r="C70" s="2" t="n">
        <v>76139</v>
      </c>
    </row>
    <row r="71">
      <c r="A71" s="2" t="inlineStr">
        <is>
          <t>operation-counts-force-pippenger.csv</t>
        </is>
      </c>
      <c r="B71" s="2" t="inlineStr">
        <is>
          <t>final_exp_valid_batch</t>
        </is>
      </c>
      <c r="C71" s="2" t="n">
        <v>7735</v>
      </c>
    </row>
    <row r="72">
      <c r="A72" s="2" t="inlineStr">
        <is>
          <t>operation-counts-force-pippenger.csv</t>
        </is>
      </c>
      <c r="B72" s="2" t="inlineStr">
        <is>
          <t>miller_11pairs_chunk4</t>
        </is>
      </c>
      <c r="C72" s="2" t="n">
        <v>58155</v>
      </c>
    </row>
    <row r="73">
      <c r="A73" s="2" t="inlineStr">
        <is>
          <t>operation-counts-force-pippenger.csv</t>
        </is>
      </c>
      <c r="B73" s="2" t="inlineStr">
        <is>
          <t>final_exp_valid_batch</t>
        </is>
      </c>
      <c r="C73" s="2" t="n">
        <v>7735</v>
      </c>
    </row>
    <row r="74">
      <c r="A74" s="2" t="inlineStr">
        <is>
          <t>operation-counts-force-pippenger.csv</t>
        </is>
      </c>
      <c r="B74" s="2" t="inlineStr">
        <is>
          <t>miller_11pairs_chunk8</t>
        </is>
      </c>
      <c r="C74" s="2" t="n">
        <v>55908</v>
      </c>
    </row>
    <row r="75">
      <c r="A75" s="2" t="inlineStr">
        <is>
          <t>operation-counts-force-pippenger.csv</t>
        </is>
      </c>
      <c r="B75" s="2" t="inlineStr">
        <is>
          <t>final_exp_valid_batch</t>
        </is>
      </c>
      <c r="C75" s="2" t="n">
        <v>7735</v>
      </c>
    </row>
    <row r="76">
      <c r="A76" s="2" t="inlineStr">
        <is>
          <t>operation-counts-force-pippenger.csv</t>
        </is>
      </c>
      <c r="B76" s="2" t="inlineStr">
        <is>
          <t>miller_11pairs_chunk11</t>
        </is>
      </c>
      <c r="C76" s="2" t="n">
        <v>53661</v>
      </c>
    </row>
    <row r="77">
      <c r="A77" s="2" t="inlineStr">
        <is>
          <t>operation-counts-force-pippenger.csv</t>
        </is>
      </c>
      <c r="B77" s="2" t="inlineStr">
        <is>
          <t>final_exp_valid_batch</t>
        </is>
      </c>
      <c r="C77" s="2" t="n">
        <v>7735</v>
      </c>
    </row>
    <row r="78">
      <c r="A78" s="2" t="inlineStr">
        <is>
          <t>operation-counts-force-pippenger.csv</t>
        </is>
      </c>
      <c r="B78" s="2" t="inlineStr">
        <is>
          <t>precompute_one_G2_lines</t>
        </is>
      </c>
      <c r="C78" s="2" t="n">
        <v>1750</v>
      </c>
    </row>
    <row r="79">
      <c r="A79" s="2" t="inlineStr">
        <is>
          <t>operation-counts-force-pippenger.csv</t>
        </is>
      </c>
      <c r="B79" s="2" t="inlineStr">
        <is>
          <t>miller_one_prepared</t>
        </is>
      </c>
      <c r="C79" s="2" t="n">
        <v>5117</v>
      </c>
    </row>
    <row r="80">
      <c r="A80" s="2" t="inlineStr">
        <is>
          <t>operation-counts-force-pippenger.csv</t>
        </is>
      </c>
      <c r="B80" s="2" t="inlineStr">
        <is>
          <t>miller_one_unprepared</t>
        </is>
      </c>
      <c r="C80" s="2" t="n">
        <v>6867</v>
      </c>
    </row>
    <row r="81">
      <c r="A81" s="2" t="inlineStr">
        <is>
          <t>operation-counts-force-pippenger.csv</t>
        </is>
      </c>
      <c r="B81" s="2" t="inlineStr">
        <is>
          <t>production_verify_distinct10</t>
        </is>
      </c>
      <c r="C81" s="2" t="n">
        <v>159730</v>
      </c>
    </row>
  </sheetData>
  <autoFilter ref="A1:C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9" customWidth="1" min="2" max="2"/>
    <col width="26" customWidth="1" min="3" max="3"/>
    <col width="23" customWidth="1" min="4" max="4"/>
    <col width="24" customWidth="1" min="5" max="5"/>
  </cols>
  <sheetData>
    <row r="1">
      <c r="A1" s="1" t="inlineStr">
        <is>
          <t>source_file</t>
        </is>
      </c>
      <c r="B1" s="1" t="inlineStr">
        <is>
          <t>variant</t>
        </is>
      </c>
      <c r="C1" s="1" t="inlineStr">
        <is>
          <t>function</t>
        </is>
      </c>
      <c r="D1" s="1" t="inlineStr">
        <is>
          <t>frame_bytes</t>
        </is>
      </c>
      <c r="E1" s="1" t="inlineStr">
        <is>
          <t>gcc_classification</t>
        </is>
      </c>
    </row>
    <row r="2">
      <c r="A2" s="2" t="inlineStr">
        <is>
          <t>stack-frames.csv</t>
        </is>
      </c>
      <c r="B2" s="2" t="inlineStr">
        <is>
          <t>server-baseline</t>
        </is>
      </c>
      <c r="C2" s="2" t="inlineStr">
        <is>
          <t>blst_miller_loop_n</t>
        </is>
      </c>
      <c r="D2" s="2" t="n">
        <v>10128</v>
      </c>
      <c r="E2" s="2" t="inlineStr">
        <is>
          <t>dynamic,bounded</t>
        </is>
      </c>
    </row>
    <row r="3">
      <c r="A3" s="2" t="inlineStr">
        <is>
          <t>stack-frames.csv</t>
        </is>
      </c>
      <c r="B3" s="2" t="inlineStr">
        <is>
          <t>server-limit4</t>
        </is>
      </c>
      <c r="C3" s="2" t="inlineStr">
        <is>
          <t>blst_miller_loop_n</t>
        </is>
      </c>
      <c r="D3" s="2" t="n">
        <v>3216</v>
      </c>
      <c r="E3" s="2" t="inlineStr">
        <is>
          <t>dynamic,bounded</t>
        </is>
      </c>
    </row>
    <row r="4">
      <c r="A4" s="2" t="inlineStr">
        <is>
          <t>stack-frames.csv</t>
        </is>
      </c>
      <c r="B4" s="2" t="inlineStr">
        <is>
          <t>server-limit11</t>
        </is>
      </c>
      <c r="C4" s="2" t="inlineStr">
        <is>
          <t>blst_miller_loop_n</t>
        </is>
      </c>
      <c r="D4" s="2" t="n">
        <v>7248</v>
      </c>
      <c r="E4" s="2" t="inlineStr">
        <is>
          <t>dynamic,bounded</t>
        </is>
      </c>
    </row>
    <row r="5">
      <c r="A5" s="2" t="inlineStr">
        <is>
          <t>stack-frames.csv</t>
        </is>
      </c>
      <c r="B5" s="2" t="inlineStr">
        <is>
          <t>crypto_bls-baseline</t>
        </is>
      </c>
      <c r="C5" s="2" t="inlineStr">
        <is>
          <t>bls_verify_proofs.part.0</t>
        </is>
      </c>
      <c r="D5" s="2" t="n">
        <v>3488</v>
      </c>
      <c r="E5" s="2" t="inlineStr">
        <is>
          <t>static</t>
        </is>
      </c>
    </row>
    <row r="6">
      <c r="A6" s="2" t="inlineStr">
        <is>
          <t>stack-frames.csv</t>
        </is>
      </c>
      <c r="B6" s="2" t="inlineStr">
        <is>
          <t>crypto_bls-chunk8</t>
        </is>
      </c>
      <c r="C6" s="2" t="inlineStr">
        <is>
          <t>bls_verify_proofs.part.0</t>
        </is>
      </c>
      <c r="D6" s="2" t="n">
        <v>4672</v>
      </c>
      <c r="E6" s="2" t="inlineStr">
        <is>
          <t>static</t>
        </is>
      </c>
    </row>
    <row r="7">
      <c r="A7" s="2" t="inlineStr">
        <is>
          <t>stack-frames.csv</t>
        </is>
      </c>
      <c r="B7" s="2" t="inlineStr">
        <is>
          <t>crypto_bls-chunk11</t>
        </is>
      </c>
      <c r="C7" s="2" t="inlineStr">
        <is>
          <t>bls_verify_proofs.part.0</t>
        </is>
      </c>
      <c r="D7" s="2" t="n">
        <v>5568</v>
      </c>
      <c r="E7" s="2" t="inlineStr">
        <is>
          <t>static</t>
        </is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9" customWidth="1" min="2" max="2"/>
    <col width="26" customWidth="1" min="3" max="3"/>
    <col width="23" customWidth="1" min="4" max="4"/>
    <col width="24" customWidth="1" min="5" max="5"/>
  </cols>
  <sheetData>
    <row r="1">
      <c r="A1" s="1" t="inlineStr">
        <is>
          <t>source_file</t>
        </is>
      </c>
      <c r="B1" s="1" t="inlineStr">
        <is>
          <t>case</t>
        </is>
      </c>
      <c r="C1" s="1" t="inlineStr">
        <is>
          <t>accepted</t>
        </is>
      </c>
      <c r="D1" s="1" t="inlineStr">
        <is>
          <t>schnorr_verifies</t>
        </is>
      </c>
    </row>
    <row r="2">
      <c r="A2" s="2" t="inlineStr">
        <is>
          <t>nutroot-baseline.csv</t>
        </is>
      </c>
      <c r="B2" s="2" t="inlineStr">
        <is>
          <t>ordered8</t>
        </is>
      </c>
      <c r="C2" s="2" t="n">
        <v>1</v>
      </c>
      <c r="D2" s="2" t="n">
        <v>92</v>
      </c>
    </row>
    <row r="3">
      <c r="A3" s="2" t="inlineStr">
        <is>
          <t>nutroot-baseline.csv</t>
        </is>
      </c>
      <c r="B3" s="2" t="inlineStr">
        <is>
          <t>reversed8</t>
        </is>
      </c>
      <c r="C3" s="2" t="n">
        <v>1</v>
      </c>
      <c r="D3" s="2" t="n">
        <v>92</v>
      </c>
    </row>
    <row r="4">
      <c r="A4" s="2" t="inlineStr">
        <is>
          <t>nutroot-baseline.csv</t>
        </is>
      </c>
      <c r="B4" s="2" t="inlineStr">
        <is>
          <t>missing8th</t>
        </is>
      </c>
      <c r="C4" s="2" t="n">
        <v>0</v>
      </c>
      <c r="D4" s="2" t="n">
        <v>84</v>
      </c>
    </row>
    <row r="5">
      <c r="A5" s="2" t="inlineStr">
        <is>
          <t>nutroot-baseline.csv</t>
        </is>
      </c>
      <c r="B5" s="2" t="inlineStr">
        <is>
          <t>duplicate8th</t>
        </is>
      </c>
      <c r="C5" s="2" t="n">
        <v>0</v>
      </c>
      <c r="D5" s="2" t="n">
        <v>84</v>
      </c>
    </row>
    <row r="6">
      <c r="A6" s="2" t="inlineStr">
        <is>
          <t>nutroot-candidate_fastpath.csv</t>
        </is>
      </c>
      <c r="B6" s="2" t="inlineStr">
        <is>
          <t>ordered8</t>
        </is>
      </c>
      <c r="C6" s="2" t="n">
        <v>1</v>
      </c>
      <c r="D6" s="2" t="n">
        <v>8</v>
      </c>
    </row>
    <row r="7">
      <c r="A7" s="2" t="inlineStr">
        <is>
          <t>nutroot-candidate_fastpath.csv</t>
        </is>
      </c>
      <c r="B7" s="2" t="inlineStr">
        <is>
          <t>reversed8</t>
        </is>
      </c>
      <c r="C7" s="2" t="n">
        <v>1</v>
      </c>
      <c r="D7" s="2" t="n">
        <v>93</v>
      </c>
    </row>
    <row r="8">
      <c r="A8" s="2" t="inlineStr">
        <is>
          <t>nutroot-candidate_fastpath.csv</t>
        </is>
      </c>
      <c r="B8" s="2" t="inlineStr">
        <is>
          <t>missing8th</t>
        </is>
      </c>
      <c r="C8" s="2" t="n">
        <v>0</v>
      </c>
      <c r="D8" s="2" t="n">
        <v>84</v>
      </c>
    </row>
    <row r="9">
      <c r="A9" s="2" t="inlineStr">
        <is>
          <t>nutroot-candidate_fastpath.csv</t>
        </is>
      </c>
      <c r="B9" s="2" t="inlineStr">
        <is>
          <t>duplicate8th</t>
        </is>
      </c>
      <c r="C9" s="2" t="n">
        <v>0</v>
      </c>
      <c r="D9" s="2" t="n">
        <v>92</v>
      </c>
    </row>
    <row r="10">
      <c r="A10" s="2" t="inlineStr">
        <is>
          <t>nutroot-early_success.csv</t>
        </is>
      </c>
      <c r="B10" s="2" t="inlineStr">
        <is>
          <t>ordered8</t>
        </is>
      </c>
      <c r="C10" s="2" t="n">
        <v>1</v>
      </c>
      <c r="D10" s="2" t="n">
        <v>36</v>
      </c>
    </row>
    <row r="11">
      <c r="A11" s="2" t="inlineStr">
        <is>
          <t>nutroot-early_success.csv</t>
        </is>
      </c>
      <c r="B11" s="2" t="inlineStr">
        <is>
          <t>reversed8</t>
        </is>
      </c>
      <c r="C11" s="2" t="n">
        <v>1</v>
      </c>
      <c r="D11" s="2" t="n">
        <v>36</v>
      </c>
    </row>
    <row r="12">
      <c r="A12" s="2" t="inlineStr">
        <is>
          <t>nutroot-early_success.csv</t>
        </is>
      </c>
      <c r="B12" s="2" t="inlineStr">
        <is>
          <t>missing8th</t>
        </is>
      </c>
      <c r="C12" s="2" t="n">
        <v>0</v>
      </c>
      <c r="D12" s="2" t="n">
        <v>84</v>
      </c>
    </row>
    <row r="13">
      <c r="A13" s="2" t="inlineStr">
        <is>
          <t>nutroot-early_success.csv</t>
        </is>
      </c>
      <c r="B13" s="2" t="inlineStr">
        <is>
          <t>duplicate8th</t>
        </is>
      </c>
      <c r="C13" s="2" t="n">
        <v>0</v>
      </c>
      <c r="D13" s="2" t="n">
        <v>84</v>
      </c>
    </row>
  </sheetData>
  <autoFilter ref="A1:D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1" t="inlineStr">
        <is>
          <t>Source</t>
        </is>
      </c>
      <c r="B1" s="1" t="inlineStr">
        <is>
          <t>Location / qualification</t>
        </is>
      </c>
    </row>
    <row r="2">
      <c r="A2" s="2" t="inlineStr">
        <is>
          <t>Historical timings</t>
        </is>
      </c>
      <c r="B2" s="2" t="inlineStr">
        <is>
          <t>../bench-nutroot-esp32c3.md</t>
        </is>
      </c>
    </row>
    <row r="3">
      <c r="A3" s="2" t="inlineStr">
        <is>
          <t>Local source provenance</t>
        </is>
      </c>
      <c r="B3" s="2" t="inlineStr">
        <is>
          <t>provenance.json</t>
        </is>
      </c>
    </row>
    <row r="4">
      <c r="A4" s="2" t="inlineStr">
        <is>
          <t>Interpretation and full citations</t>
        </is>
      </c>
      <c r="B4" s="2" t="inlineStr">
        <is>
          <t>../crypto-optimization-esp32c3.md</t>
        </is>
      </c>
    </row>
    <row r="5">
      <c r="A5" s="2" t="inlineStr">
        <is>
          <t>BLS proposal status</t>
        </is>
      </c>
      <c r="B5" s="8" t="inlineStr">
        <is>
          <t>https://github.com/cashubtc/nuts/pull/371</t>
        </is>
      </c>
    </row>
    <row r="6">
      <c r="A6" s="2" t="inlineStr">
        <is>
          <t>Nutroot proposal status</t>
        </is>
      </c>
      <c r="B6" s="8" t="inlineStr">
        <is>
          <t>https://github.com/cashubtc/nuts/pull/421</t>
        </is>
      </c>
    </row>
  </sheetData>
  <autoFilter ref="A1:B6"/>
  <hyperlinks>
    <hyperlink xmlns:r="http://schemas.openxmlformats.org/officeDocument/2006/relationships" ref="B5" r:id="rId1"/>
    <hyperlink xmlns:r="http://schemas.openxmlformats.org/officeDocument/2006/relationships" ref="B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2026-09-13T13:10:58Z</dcterms:created>
  <dcterms:modified xsi:type="dcterms:W3CDTF">2026-09-13T13:10:58Z</dcterms:modified>
</cp:coreProperties>
</file>